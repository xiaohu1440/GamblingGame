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Project\GamblingGame\Docs\Requirements\"/>
    </mc:Choice>
  </mc:AlternateContent>
  <xr:revisionPtr revIDLastSave="0" documentId="13_ncr:1_{6F110573-F270-4AD1-AE5F-14C5248C93F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使用说明" sheetId="1" r:id="rId1"/>
    <sheet name="汇总" sheetId="2" r:id="rId2"/>
    <sheet name="策划需求" sheetId="3" r:id="rId3"/>
    <sheet name="程序需求" sheetId="4" r:id="rId4"/>
    <sheet name="美术需求" sheetId="5" r:id="rId5"/>
    <sheet name="每日需求" sheetId="6" r:id="rId6"/>
  </sheets>
  <definedNames>
    <definedName name="_xlnm._FilterDatabase" localSheetId="2" hidden="1">策划需求!$A$1:$J$3</definedName>
    <definedName name="_xlnm._FilterDatabase" localSheetId="3" hidden="1">程序需求!$A$1:$J$3</definedName>
    <definedName name="_xlnm._FilterDatabase" localSheetId="5" hidden="1">每日需求!$A$1:$K$60</definedName>
    <definedName name="_xlnm._FilterDatabase" localSheetId="4" hidden="1">美术需求!$A$1:$J$3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6" l="1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H7" i="2"/>
  <c r="G7" i="2"/>
  <c r="F7" i="2"/>
  <c r="E7" i="2"/>
  <c r="D7" i="2"/>
  <c r="C7" i="2"/>
  <c r="I7" i="2" s="1"/>
  <c r="H6" i="2"/>
  <c r="G6" i="2"/>
  <c r="F6" i="2"/>
  <c r="E6" i="2"/>
  <c r="D6" i="2"/>
  <c r="C6" i="2"/>
  <c r="I6" i="2" s="1"/>
  <c r="H5" i="2"/>
  <c r="H9" i="2" s="1"/>
  <c r="G5" i="2"/>
  <c r="G9" i="2" s="1"/>
  <c r="F5" i="2"/>
  <c r="F9" i="2" s="1"/>
  <c r="E5" i="2"/>
  <c r="E9" i="2" s="1"/>
  <c r="D5" i="2"/>
  <c r="D9" i="2" s="1"/>
  <c r="C5" i="2"/>
  <c r="I5" i="2" l="1"/>
  <c r="C9" i="2"/>
  <c r="I9" i="2" s="1"/>
</calcChain>
</file>

<file path=xl/sharedStrings.xml><?xml version="1.0" encoding="utf-8"?>
<sst xmlns="http://schemas.openxmlformats.org/spreadsheetml/2006/main" count="177" uniqueCount="102">
  <si>
    <t>GamblingGame · 开发需求管理表</t>
  </si>
  <si>
    <t>配套规则：AGENTS.md §9（需求准入 / 归档）、Docs/Requirements/README.md</t>
  </si>
  <si>
    <t>工作表</t>
  </si>
  <si>
    <t>用途</t>
  </si>
  <si>
    <t>汇总</t>
  </si>
  <si>
    <t>自动统计三张需求表的数量、完成率；不要手改公式。</t>
  </si>
  <si>
    <t>策划需求</t>
  </si>
  <si>
    <t>系统/玩法/数值/文案类需求，主责：执行策划。</t>
  </si>
  <si>
    <t>程序需求</t>
  </si>
  <si>
    <t>逻辑/系统/UI 逻辑/工具/测试类需求，主责：程序。</t>
  </si>
  <si>
    <t>美术需求</t>
  </si>
  <si>
    <t>UI 布局/prefab/图标/视觉验收类需求，主责：美术。</t>
  </si>
  <si>
    <t>每日需求</t>
  </si>
  <si>
    <t>当天要做的事；每天结束逐行评判「是否完成 / 是否需要修改 / 是否需要删除」。</t>
  </si>
  <si>
    <t>填写规则</t>
  </si>
  <si>
    <t>1. 一条需求一行；需求文档列填需求卡路径（Docs/Requirements/&lt;ID&gt;_&lt;名称&gt;.md），验收后把归档路径写进「完成后的反馈」。</t>
  </si>
  <si>
    <t>2. 状态只能从下拉选：待评估 → 已排期 → 进行中 → 待验收 → 已完成 → 已归档；取消用「已取消」。</t>
  </si>
  <si>
    <t>3. 「需求完成后的反馈」在验收后填写：已验证了什么、遗留什么、归档在哪（三段以内，不要复制整篇文档）。</t>
  </si>
  <si>
    <t>4. 每日需求表的「今日结果」决定「是否完成」；「是否需要修改 / 删除」是每天结束时的复盘判断。</t>
  </si>
  <si>
    <t>5. 需要修改的需求：在每日表标「是」，并在需求表把状态退回「进行中」；需要删除的：标「是」并把状态改「已取消」。</t>
  </si>
  <si>
    <t>6. 需求卡没过 requirement-check 的需求，不要进表（状态最多「待评估」）。</t>
  </si>
  <si>
    <t>颜色图例</t>
  </si>
  <si>
    <t>已完成 / 已归档</t>
  </si>
  <si>
    <t>进行中</t>
  </si>
  <si>
    <t>待验收</t>
  </si>
  <si>
    <t>已取消</t>
  </si>
  <si>
    <t>待评估 / 已排期</t>
  </si>
  <si>
    <t>需求汇总（公式自动统计，勿手改）</t>
  </si>
  <si>
    <t>需求表</t>
  </si>
  <si>
    <t>需求总数</t>
  </si>
  <si>
    <t>已完成</t>
  </si>
  <si>
    <t>已归档</t>
  </si>
  <si>
    <t>待评估/已排期</t>
  </si>
  <si>
    <t>完成率</t>
  </si>
  <si>
    <t>合计</t>
  </si>
  <si>
    <t>每日复盘提示</t>
  </si>
  <si>
    <t>每天收尾：在「每日需求」逐行选今日结果（完成/部分完成/未完成/阻塞），再判断是否需要修改、是否需要删除。</t>
  </si>
  <si>
    <t>需要修改：需求表状态退回「进行中」，并写清改什么；需要删除：状态改「已取消」，备注写原因。</t>
  </si>
  <si>
    <t>完成后：需求表状态改「已完成」，在「需求完成后的反馈」写验证结论 + 归档路径。</t>
  </si>
  <si>
    <t>需求 ID</t>
  </si>
  <si>
    <t>需求名称</t>
  </si>
  <si>
    <t>需求负责人</t>
  </si>
  <si>
    <t>需求状态</t>
  </si>
  <si>
    <t>优先级</t>
  </si>
  <si>
    <t>需求文档（卡片）</t>
  </si>
  <si>
    <t>需求完成后的反馈</t>
  </si>
  <si>
    <t>创建日期</t>
  </si>
  <si>
    <t>完成日期</t>
  </si>
  <si>
    <t>备注</t>
  </si>
  <si>
    <t>SYS-001-D</t>
  </si>
  <si>
    <t>彩蛋保底 · 数值配置</t>
  </si>
  <si>
    <t>执行策划</t>
  </si>
  <si>
    <t>P1</t>
  </si>
  <si>
    <t>Docs/Requirements/SYS-001_彩蛋保底.md</t>
  </si>
  <si>
    <t>新建 EasterEggConfig（N=4）；彩蛋卡 ChanceWeight 25→0；轮盘第 21 格改小王（彩蛋卡 2→1，保持 24 格）。归档：Archive/SYS-001_彩蛋保底.md</t>
  </si>
  <si>
    <t>2026-10-20</t>
  </si>
  <si>
    <t>SYS-002-D</t>
  </si>
  <si>
    <t>商店刷新 · 数值与资产</t>
  </si>
  <si>
    <t>待评估</t>
  </si>
  <si>
    <t>P2</t>
  </si>
  <si>
    <t>Docs/Requirements/SYS-002_商店刷新.md</t>
  </si>
  <si>
    <t>卡片仍是 Draft，未排期</t>
  </si>
  <si>
    <t>SYS-001-T</t>
  </si>
  <si>
    <t>彩蛋保底 · 充能逻辑与事件</t>
  </si>
  <si>
    <t>程序</t>
  </si>
  <si>
    <t>EasterEggChargeRule + Global 三状态 + 两个 struct 事件 + 满格强制落点 + 0 权重跳过；单测 11 例，全量 33/33。归档：Archive/SYS-001_彩蛋保底.md</t>
  </si>
  <si>
    <t>SYS-002-T</t>
  </si>
  <si>
    <t>商店刷新 · 逻辑实现</t>
  </si>
  <si>
    <t>依赖 SYS-002-D 数值先定</t>
  </si>
  <si>
    <t>SYS-001-A</t>
  </si>
  <si>
    <t>彩蛋保底 · 充能进度条</t>
  </si>
  <si>
    <t>美术</t>
  </si>
  <si>
    <t>竖向条 60×560（右侧、Vertical/Bottom 填充）+ 7 段刻线；不遮挡 HUD；AB 已重建。截图：egg_charge_0pct/60pct.png</t>
  </si>
  <si>
    <t>首版做成横向，已返工</t>
  </si>
  <si>
    <t>SYS-002-A</t>
  </si>
  <si>
    <t>商店刷新 · 刷新按钮与次数 UI</t>
  </si>
  <si>
    <t>等需求卡 Approved</t>
  </si>
  <si>
    <t>日期</t>
  </si>
  <si>
    <t>负责人</t>
  </si>
  <si>
    <t>今日目标 / 内容</t>
  </si>
  <si>
    <t>今日结果</t>
  </si>
  <si>
    <t>是否完成</t>
  </si>
  <si>
    <t>是否需要修改</t>
  </si>
  <si>
    <t>是否需要删除</t>
  </si>
  <si>
    <t>明日跟进</t>
  </si>
  <si>
    <t>彩蛋保底 · 充能逻辑</t>
  </si>
  <si>
    <t>实现充能/事件/强制落点 + 测试</t>
  </si>
  <si>
    <t>完成</t>
  </si>
  <si>
    <t>是</t>
  </si>
  <si>
    <t>否</t>
  </si>
  <si>
    <t>无</t>
  </si>
  <si>
    <t>33/33 测试通过</t>
  </si>
  <si>
    <t>config + 权重归零 + 轮盘去重</t>
  </si>
  <si>
    <t>发现 2 张彩蛋卡，改原位替换</t>
  </si>
  <si>
    <t>彩蛋保底 · 进度条</t>
  </si>
  <si>
    <t>竖向进度条 + AB + 截图</t>
  </si>
  <si>
    <t>首版横向，返工一次</t>
  </si>
  <si>
    <t>SYS-001</t>
  </si>
  <si>
    <t>彩蛋保底 · 验收与归档</t>
  </si>
  <si>
    <t>Lead</t>
  </si>
  <si>
    <t>编译/测试/lint/接线/归档</t>
  </si>
  <si>
    <t>归档 Archive/SYS-001_彩蛋保底.md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</si>
</sst>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color theme="1"/>
      <name val="宋体"/>
      <family val="2"/>
      <scheme val="minor"/>
    </font>
    <font>
      <b/>
      <sz val="16"/>
      <color rgb="FF1F3864"/>
      <name val="Microsoft YaHei"/>
      <family val="2"/>
      <charset val="134"/>
    </font>
    <font>
      <sz val="10"/>
      <color rgb="FF595959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b/>
      <sz val="11"/>
      <color rgb="FF1F3864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u/>
      <sz val="10"/>
      <color rgb="FF0563C1"/>
      <name val="Microsoft YaHei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/>
  </cellXfs>
  <cellStyles count="1">
    <cellStyle name="常规" xfId="0" builtinId="0"/>
  </cellStyles>
  <dxfs count="24"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Docs/Requirements/SYS-002_&#21830;&#24215;&#21047;&#26032;.md" TargetMode="External"/><Relationship Id="rId1" Type="http://schemas.openxmlformats.org/officeDocument/2006/relationships/hyperlink" Target="Docs/Requirements/SYS-001_&#24425;&#34507;&#20445;&#24213;.m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Docs/Requirements/SYS-002_&#21830;&#24215;&#21047;&#26032;.md" TargetMode="External"/><Relationship Id="rId1" Type="http://schemas.openxmlformats.org/officeDocument/2006/relationships/hyperlink" Target="Docs/Requirements/SYS-001_&#24425;&#34507;&#20445;&#24213;.m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Docs/Requirements/SYS-002_&#21830;&#24215;&#21047;&#26032;.md" TargetMode="External"/><Relationship Id="rId1" Type="http://schemas.openxmlformats.org/officeDocument/2006/relationships/hyperlink" Target="Docs/Requirements/SYS-001_&#24425;&#34507;&#20445;&#24213;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workbookViewId="0">
      <selection activeCell="B21" sqref="B21"/>
    </sheetView>
  </sheetViews>
  <sheetFormatPr defaultRowHeight="13.5"/>
  <cols>
    <col min="1" max="1" width="4" customWidth="1"/>
    <col min="2" max="2" width="26" customWidth="1"/>
    <col min="3" max="3" width="96" customWidth="1"/>
  </cols>
  <sheetData>
    <row r="2" spans="2:3" ht="22.5">
      <c r="B2" s="1" t="s">
        <v>0</v>
      </c>
    </row>
    <row r="3" spans="2:3" ht="16.5">
      <c r="B3" s="2" t="s">
        <v>1</v>
      </c>
    </row>
    <row r="5" spans="2:3" ht="16.5">
      <c r="B5" s="3" t="s">
        <v>2</v>
      </c>
      <c r="C5" s="4" t="s">
        <v>3</v>
      </c>
    </row>
    <row r="6" spans="2:3" ht="16.5">
      <c r="B6" s="3" t="s">
        <v>4</v>
      </c>
      <c r="C6" s="4" t="s">
        <v>5</v>
      </c>
    </row>
    <row r="7" spans="2:3" ht="16.5">
      <c r="B7" s="3" t="s">
        <v>6</v>
      </c>
      <c r="C7" s="4" t="s">
        <v>7</v>
      </c>
    </row>
    <row r="8" spans="2:3" ht="16.5">
      <c r="B8" s="3" t="s">
        <v>8</v>
      </c>
      <c r="C8" s="4" t="s">
        <v>9</v>
      </c>
    </row>
    <row r="9" spans="2:3" ht="16.5">
      <c r="B9" s="3" t="s">
        <v>10</v>
      </c>
      <c r="C9" s="4" t="s">
        <v>11</v>
      </c>
    </row>
    <row r="10" spans="2:3" ht="16.5">
      <c r="B10" s="3" t="s">
        <v>12</v>
      </c>
      <c r="C10" s="4" t="s">
        <v>13</v>
      </c>
    </row>
    <row r="12" spans="2:3" ht="15">
      <c r="B12" s="5" t="s">
        <v>14</v>
      </c>
    </row>
    <row r="13" spans="2:3" ht="32.1" customHeight="1">
      <c r="B13" s="19" t="s">
        <v>15</v>
      </c>
      <c r="C13" s="20"/>
    </row>
    <row r="14" spans="2:3" ht="32.1" customHeight="1">
      <c r="B14" s="19" t="s">
        <v>16</v>
      </c>
      <c r="C14" s="20"/>
    </row>
    <row r="15" spans="2:3" ht="32.1" customHeight="1">
      <c r="B15" s="19" t="s">
        <v>17</v>
      </c>
      <c r="C15" s="20"/>
    </row>
    <row r="16" spans="2:3" ht="32.1" customHeight="1">
      <c r="B16" s="19" t="s">
        <v>18</v>
      </c>
      <c r="C16" s="20"/>
    </row>
    <row r="17" spans="2:3" ht="32.1" customHeight="1">
      <c r="B17" s="19" t="s">
        <v>19</v>
      </c>
      <c r="C17" s="20"/>
    </row>
    <row r="18" spans="2:3" ht="32.1" customHeight="1">
      <c r="B18" s="19" t="s">
        <v>20</v>
      </c>
      <c r="C18" s="20"/>
    </row>
    <row r="20" spans="2:3" ht="15">
      <c r="B20" s="5" t="s">
        <v>21</v>
      </c>
    </row>
    <row r="21" spans="2:3" ht="16.5">
      <c r="B21" s="6" t="s">
        <v>22</v>
      </c>
    </row>
    <row r="22" spans="2:3" ht="16.5">
      <c r="B22" s="7" t="s">
        <v>23</v>
      </c>
    </row>
    <row r="23" spans="2:3" ht="16.5">
      <c r="B23" s="8" t="s">
        <v>24</v>
      </c>
    </row>
    <row r="24" spans="2:3" ht="16.5">
      <c r="B24" s="9" t="s">
        <v>25</v>
      </c>
    </row>
    <row r="25" spans="2:3" ht="16.5">
      <c r="B25" s="10" t="s">
        <v>26</v>
      </c>
    </row>
  </sheetData>
  <mergeCells count="6">
    <mergeCell ref="B18:C18"/>
    <mergeCell ref="B13:C13"/>
    <mergeCell ref="B16:C16"/>
    <mergeCell ref="B15:C15"/>
    <mergeCell ref="B14:C14"/>
    <mergeCell ref="B17:C17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showGridLines="0" workbookViewId="0"/>
  </sheetViews>
  <sheetFormatPr defaultRowHeight="13.5"/>
  <cols>
    <col min="1" max="1" width="4" customWidth="1"/>
    <col min="2" max="2" width="18" customWidth="1"/>
    <col min="3" max="7" width="12" customWidth="1"/>
    <col min="8" max="8" width="14" customWidth="1"/>
    <col min="9" max="9" width="10" customWidth="1"/>
  </cols>
  <sheetData>
    <row r="2" spans="2:9" ht="22.5">
      <c r="B2" s="1" t="s">
        <v>27</v>
      </c>
    </row>
    <row r="4" spans="2:9" ht="24" customHeight="1">
      <c r="B4" s="11" t="s">
        <v>28</v>
      </c>
      <c r="C4" s="11" t="s">
        <v>29</v>
      </c>
      <c r="D4" s="11" t="s">
        <v>30</v>
      </c>
      <c r="E4" s="11" t="s">
        <v>31</v>
      </c>
      <c r="F4" s="11" t="s">
        <v>23</v>
      </c>
      <c r="G4" s="11" t="s">
        <v>24</v>
      </c>
      <c r="H4" s="11" t="s">
        <v>32</v>
      </c>
      <c r="I4" s="11" t="s">
        <v>33</v>
      </c>
    </row>
    <row r="5" spans="2:9" ht="16.5">
      <c r="B5" s="12" t="s">
        <v>6</v>
      </c>
      <c r="C5" s="12">
        <f>COUNTA(策划需求!A2:A500)</f>
        <v>2</v>
      </c>
      <c r="D5" s="12">
        <f>COUNTIF(策划需求!D2:D500,"已完成")</f>
        <v>1</v>
      </c>
      <c r="E5" s="12">
        <f>COUNTIF(策划需求!D2:D500,"已归档")</f>
        <v>0</v>
      </c>
      <c r="F5" s="12">
        <f>COUNTIF(策划需求!D2:D500,"进行中")</f>
        <v>0</v>
      </c>
      <c r="G5" s="12">
        <f>COUNTIF(策划需求!D2:D500,"待验收")</f>
        <v>0</v>
      </c>
      <c r="H5" s="12">
        <f>COUNTIF(策划需求!D2:D500,"待评估")+COUNTIF(策划需求!D2:D500,"已排期")</f>
        <v>1</v>
      </c>
      <c r="I5" s="13">
        <f>IF(C5=0,"-",(D5+E5)/C5)</f>
        <v>0.5</v>
      </c>
    </row>
    <row r="6" spans="2:9" ht="16.5">
      <c r="B6" s="12" t="s">
        <v>8</v>
      </c>
      <c r="C6" s="12">
        <f>COUNTA(程序需求!A2:A500)</f>
        <v>2</v>
      </c>
      <c r="D6" s="12">
        <f>COUNTIF(程序需求!D2:D500,"已完成")</f>
        <v>1</v>
      </c>
      <c r="E6" s="12">
        <f>COUNTIF(程序需求!D2:D500,"已归档")</f>
        <v>0</v>
      </c>
      <c r="F6" s="12">
        <f>COUNTIF(程序需求!D2:D500,"进行中")</f>
        <v>0</v>
      </c>
      <c r="G6" s="12">
        <f>COUNTIF(程序需求!D2:D500,"待验收")</f>
        <v>0</v>
      </c>
      <c r="H6" s="12">
        <f>COUNTIF(程序需求!D2:D500,"待评估")+COUNTIF(程序需求!D2:D500,"已排期")</f>
        <v>1</v>
      </c>
      <c r="I6" s="13">
        <f>IF(C6=0,"-",(D6+E6)/C6)</f>
        <v>0.5</v>
      </c>
    </row>
    <row r="7" spans="2:9" ht="16.5">
      <c r="B7" s="12" t="s">
        <v>10</v>
      </c>
      <c r="C7" s="12">
        <f>COUNTA(美术需求!A2:A500)</f>
        <v>2</v>
      </c>
      <c r="D7" s="12">
        <f>COUNTIF(美术需求!D2:D500,"已完成")</f>
        <v>1</v>
      </c>
      <c r="E7" s="12">
        <f>COUNTIF(美术需求!D2:D500,"已归档")</f>
        <v>0</v>
      </c>
      <c r="F7" s="12">
        <f>COUNTIF(美术需求!D2:D500,"进行中")</f>
        <v>0</v>
      </c>
      <c r="G7" s="12">
        <f>COUNTIF(美术需求!D2:D500,"待验收")</f>
        <v>0</v>
      </c>
      <c r="H7" s="12">
        <f>COUNTIF(美术需求!D2:D500,"待评估")+COUNTIF(美术需求!D2:D500,"已排期")</f>
        <v>1</v>
      </c>
      <c r="I7" s="13">
        <f>IF(C7=0,"-",(D7+E7)/C7)</f>
        <v>0.5</v>
      </c>
    </row>
    <row r="9" spans="2:9" ht="16.5">
      <c r="B9" s="14" t="s">
        <v>34</v>
      </c>
      <c r="C9" s="14">
        <f t="shared" ref="C9:H9" si="0">SUM(C5:C7)</f>
        <v>6</v>
      </c>
      <c r="D9" s="14">
        <f t="shared" si="0"/>
        <v>3</v>
      </c>
      <c r="E9" s="14">
        <f t="shared" si="0"/>
        <v>0</v>
      </c>
      <c r="F9" s="14">
        <f t="shared" si="0"/>
        <v>0</v>
      </c>
      <c r="G9" s="14">
        <f t="shared" si="0"/>
        <v>0</v>
      </c>
      <c r="H9" s="14">
        <f t="shared" si="0"/>
        <v>3</v>
      </c>
      <c r="I9" s="15">
        <f>IF(C9=0,"-",(D9+E9)/C9)</f>
        <v>0.5</v>
      </c>
    </row>
    <row r="11" spans="2:9" ht="15">
      <c r="B11" s="5" t="s">
        <v>35</v>
      </c>
    </row>
    <row r="12" spans="2:9" ht="30" customHeight="1">
      <c r="B12" s="19" t="s">
        <v>36</v>
      </c>
      <c r="C12" s="20"/>
      <c r="D12" s="20"/>
      <c r="E12" s="20"/>
      <c r="F12" s="20"/>
      <c r="G12" s="20"/>
      <c r="H12" s="20"/>
      <c r="I12" s="20"/>
    </row>
    <row r="13" spans="2:9" ht="30" customHeight="1">
      <c r="B13" s="19" t="s">
        <v>37</v>
      </c>
      <c r="C13" s="20"/>
      <c r="D13" s="20"/>
      <c r="E13" s="20"/>
      <c r="F13" s="20"/>
      <c r="G13" s="20"/>
      <c r="H13" s="20"/>
      <c r="I13" s="20"/>
    </row>
    <row r="14" spans="2:9" ht="30" customHeight="1">
      <c r="B14" s="19" t="s">
        <v>38</v>
      </c>
      <c r="C14" s="20"/>
      <c r="D14" s="20"/>
      <c r="E14" s="20"/>
      <c r="F14" s="20"/>
      <c r="G14" s="20"/>
      <c r="H14" s="20"/>
      <c r="I14" s="20"/>
    </row>
  </sheetData>
  <mergeCells count="3">
    <mergeCell ref="B12:I12"/>
    <mergeCell ref="B13:I13"/>
    <mergeCell ref="B14:I14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3.5"/>
  <cols>
    <col min="1" max="1" width="14" customWidth="1"/>
    <col min="2" max="2" width="26" customWidth="1"/>
    <col min="3" max="3" width="12" customWidth="1"/>
    <col min="4" max="4" width="10" customWidth="1"/>
    <col min="5" max="5" width="8" customWidth="1"/>
    <col min="6" max="6" width="40" customWidth="1"/>
    <col min="7" max="7" width="52" customWidth="1"/>
    <col min="8" max="9" width="12" customWidth="1"/>
    <col min="10" max="10" width="24" customWidth="1"/>
  </cols>
  <sheetData>
    <row r="1" spans="1:10" ht="26.1" customHeight="1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</row>
    <row r="2" spans="1:10" ht="33.950000000000003" customHeight="1">
      <c r="A2" s="12" t="s">
        <v>49</v>
      </c>
      <c r="B2" s="16" t="s">
        <v>50</v>
      </c>
      <c r="C2" s="12" t="s">
        <v>51</v>
      </c>
      <c r="D2" s="12" t="s">
        <v>30</v>
      </c>
      <c r="E2" s="12" t="s">
        <v>52</v>
      </c>
      <c r="F2" s="17" t="s">
        <v>53</v>
      </c>
      <c r="G2" s="16" t="s">
        <v>54</v>
      </c>
      <c r="H2" s="12" t="s">
        <v>55</v>
      </c>
      <c r="I2" s="12" t="s">
        <v>55</v>
      </c>
      <c r="J2" s="16"/>
    </row>
    <row r="3" spans="1:10" ht="33.950000000000003" customHeight="1">
      <c r="A3" s="12" t="s">
        <v>56</v>
      </c>
      <c r="B3" s="16" t="s">
        <v>57</v>
      </c>
      <c r="C3" s="12" t="s">
        <v>51</v>
      </c>
      <c r="D3" s="12" t="s">
        <v>58</v>
      </c>
      <c r="E3" s="12" t="s">
        <v>59</v>
      </c>
      <c r="F3" s="17" t="s">
        <v>60</v>
      </c>
      <c r="G3" s="16"/>
      <c r="H3" s="12" t="s">
        <v>55</v>
      </c>
      <c r="I3" s="12"/>
      <c r="J3" s="16" t="s">
        <v>61</v>
      </c>
    </row>
  </sheetData>
  <autoFilter ref="A1:J3" xr:uid="{00000000-0009-0000-0000-000002000000}"/>
  <phoneticPr fontId="8" type="noConversion"/>
  <conditionalFormatting sqref="D2:D500">
    <cfRule type="expression" dxfId="23" priority="1">
      <formula>$D2="已完成"</formula>
    </cfRule>
    <cfRule type="expression" dxfId="22" priority="2">
      <formula>$D2="已归档"</formula>
    </cfRule>
    <cfRule type="expression" dxfId="21" priority="3">
      <formula>$D2="进行中"</formula>
    </cfRule>
    <cfRule type="expression" dxfId="20" priority="4">
      <formula>$D2="待验收"</formula>
    </cfRule>
    <cfRule type="expression" dxfId="19" priority="5">
      <formula>$D2="已取消"</formula>
    </cfRule>
    <cfRule type="expression" dxfId="18" priority="6">
      <formula>OR($D2="待评估",$D2="已排期")</formula>
    </cfRule>
  </conditionalFormatting>
  <dataValidations count="2">
    <dataValidation type="list" allowBlank="1" sqref="D2:D500" xr:uid="{00000000-0002-0000-0200-000000000000}">
      <formula1>"待评估,已排期,进行中,待验收,已完成,已归档,已取消"</formula1>
    </dataValidation>
    <dataValidation type="list" allowBlank="1" sqref="E2:E500" xr:uid="{00000000-0002-0000-0200-000001000000}">
      <formula1>"P0,P1,P2,P3"</formula1>
    </dataValidation>
  </dataValidations>
  <hyperlinks>
    <hyperlink ref="F2" r:id="rId1" xr:uid="{00000000-0004-0000-0200-000000000000}"/>
    <hyperlink ref="F3" r:id="rId2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14" customWidth="1"/>
    <col min="2" max="2" width="26" customWidth="1"/>
    <col min="3" max="3" width="12" customWidth="1"/>
    <col min="4" max="4" width="10" customWidth="1"/>
    <col min="5" max="5" width="8" customWidth="1"/>
    <col min="6" max="6" width="40" customWidth="1"/>
    <col min="7" max="7" width="52" customWidth="1"/>
    <col min="8" max="9" width="12" customWidth="1"/>
    <col min="10" max="10" width="24" customWidth="1"/>
  </cols>
  <sheetData>
    <row r="1" spans="1:10" ht="26.1" customHeight="1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</row>
    <row r="2" spans="1:10" ht="33.950000000000003" customHeight="1">
      <c r="A2" s="12" t="s">
        <v>62</v>
      </c>
      <c r="B2" s="16" t="s">
        <v>63</v>
      </c>
      <c r="C2" s="12" t="s">
        <v>64</v>
      </c>
      <c r="D2" s="12" t="s">
        <v>30</v>
      </c>
      <c r="E2" s="12" t="s">
        <v>52</v>
      </c>
      <c r="F2" s="17" t="s">
        <v>53</v>
      </c>
      <c r="G2" s="16" t="s">
        <v>65</v>
      </c>
      <c r="H2" s="12" t="s">
        <v>55</v>
      </c>
      <c r="I2" s="12" t="s">
        <v>55</v>
      </c>
      <c r="J2" s="16"/>
    </row>
    <row r="3" spans="1:10" ht="33.950000000000003" customHeight="1">
      <c r="A3" s="12" t="s">
        <v>66</v>
      </c>
      <c r="B3" s="16" t="s">
        <v>67</v>
      </c>
      <c r="C3" s="12" t="s">
        <v>64</v>
      </c>
      <c r="D3" s="12" t="s">
        <v>58</v>
      </c>
      <c r="E3" s="12" t="s">
        <v>59</v>
      </c>
      <c r="F3" s="17" t="s">
        <v>60</v>
      </c>
      <c r="G3" s="16"/>
      <c r="H3" s="12" t="s">
        <v>55</v>
      </c>
      <c r="I3" s="12"/>
      <c r="J3" s="16" t="s">
        <v>68</v>
      </c>
    </row>
  </sheetData>
  <autoFilter ref="A1:J3" xr:uid="{00000000-0009-0000-0000-000003000000}"/>
  <phoneticPr fontId="8" type="noConversion"/>
  <conditionalFormatting sqref="D2:D500">
    <cfRule type="expression" dxfId="17" priority="1">
      <formula>$D2="已完成"</formula>
    </cfRule>
    <cfRule type="expression" dxfId="16" priority="2">
      <formula>$D2="已归档"</formula>
    </cfRule>
    <cfRule type="expression" dxfId="15" priority="3">
      <formula>$D2="进行中"</formula>
    </cfRule>
    <cfRule type="expression" dxfId="14" priority="4">
      <formula>$D2="待验收"</formula>
    </cfRule>
    <cfRule type="expression" dxfId="13" priority="5">
      <formula>$D2="已取消"</formula>
    </cfRule>
    <cfRule type="expression" dxfId="12" priority="6">
      <formula>OR($D2="待评估",$D2="已排期")</formula>
    </cfRule>
  </conditionalFormatting>
  <dataValidations count="2">
    <dataValidation type="list" allowBlank="1" sqref="D2:D500" xr:uid="{00000000-0002-0000-0300-000000000000}">
      <formula1>"待评估,已排期,进行中,待验收,已完成,已归档,已取消"</formula1>
    </dataValidation>
    <dataValidation type="list" allowBlank="1" sqref="E2:E500" xr:uid="{00000000-0002-0000-0300-000001000000}">
      <formula1>"P0,P1,P2,P3"</formula1>
    </dataValidation>
  </dataValidations>
  <hyperlinks>
    <hyperlink ref="F2" r:id="rId1" xr:uid="{00000000-0004-0000-0300-000000000000}"/>
    <hyperlink ref="F3" r:id="rId2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4" customWidth="1"/>
    <col min="2" max="2" width="26" customWidth="1"/>
    <col min="3" max="3" width="12" customWidth="1"/>
    <col min="4" max="4" width="10" customWidth="1"/>
    <col min="5" max="5" width="8" customWidth="1"/>
    <col min="6" max="6" width="40" customWidth="1"/>
    <col min="7" max="7" width="52" customWidth="1"/>
    <col min="8" max="9" width="12" customWidth="1"/>
    <col min="10" max="10" width="24" customWidth="1"/>
  </cols>
  <sheetData>
    <row r="1" spans="1:10" ht="26.1" customHeight="1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</row>
    <row r="2" spans="1:10" ht="33.950000000000003" customHeight="1">
      <c r="A2" s="12" t="s">
        <v>69</v>
      </c>
      <c r="B2" s="16" t="s">
        <v>70</v>
      </c>
      <c r="C2" s="12" t="s">
        <v>71</v>
      </c>
      <c r="D2" s="12" t="s">
        <v>30</v>
      </c>
      <c r="E2" s="12" t="s">
        <v>52</v>
      </c>
      <c r="F2" s="17" t="s">
        <v>53</v>
      </c>
      <c r="G2" s="16" t="s">
        <v>72</v>
      </c>
      <c r="H2" s="12" t="s">
        <v>55</v>
      </c>
      <c r="I2" s="12" t="s">
        <v>55</v>
      </c>
      <c r="J2" s="16" t="s">
        <v>73</v>
      </c>
    </row>
    <row r="3" spans="1:10" ht="33.950000000000003" customHeight="1">
      <c r="A3" s="12" t="s">
        <v>74</v>
      </c>
      <c r="B3" s="16" t="s">
        <v>75</v>
      </c>
      <c r="C3" s="12" t="s">
        <v>71</v>
      </c>
      <c r="D3" s="12" t="s">
        <v>58</v>
      </c>
      <c r="E3" s="12" t="s">
        <v>59</v>
      </c>
      <c r="F3" s="17" t="s">
        <v>60</v>
      </c>
      <c r="G3" s="16"/>
      <c r="H3" s="12" t="s">
        <v>55</v>
      </c>
      <c r="I3" s="12"/>
      <c r="J3" s="16" t="s">
        <v>76</v>
      </c>
    </row>
  </sheetData>
  <autoFilter ref="A1:J3" xr:uid="{00000000-0009-0000-0000-000004000000}"/>
  <phoneticPr fontId="8" type="noConversion"/>
  <conditionalFormatting sqref="D2:D500">
    <cfRule type="expression" dxfId="11" priority="1">
      <formula>$D2="已完成"</formula>
    </cfRule>
    <cfRule type="expression" dxfId="10" priority="2">
      <formula>$D2="已归档"</formula>
    </cfRule>
    <cfRule type="expression" dxfId="9" priority="3">
      <formula>$D2="进行中"</formula>
    </cfRule>
    <cfRule type="expression" dxfId="8" priority="4">
      <formula>$D2="待验收"</formula>
    </cfRule>
    <cfRule type="expression" dxfId="7" priority="5">
      <formula>$D2="已取消"</formula>
    </cfRule>
    <cfRule type="expression" dxfId="6" priority="6">
      <formula>OR($D2="待评估",$D2="已排期")</formula>
    </cfRule>
  </conditionalFormatting>
  <dataValidations count="2">
    <dataValidation type="list" allowBlank="1" sqref="D2:D500" xr:uid="{00000000-0002-0000-0400-000000000000}">
      <formula1>"待评估,已排期,进行中,待验收,已完成,已归档,已取消"</formula1>
    </dataValidation>
    <dataValidation type="list" allowBlank="1" sqref="E2:E500" xr:uid="{00000000-0002-0000-0400-000001000000}">
      <formula1>"P0,P1,P2,P3"</formula1>
    </dataValidation>
  </dataValidations>
  <hyperlinks>
    <hyperlink ref="F2" r:id="rId1" xr:uid="{00000000-0004-0000-0400-000000000000}"/>
    <hyperlink ref="F3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2" customWidth="1"/>
    <col min="2" max="2" width="14" customWidth="1"/>
    <col min="3" max="3" width="26" customWidth="1"/>
    <col min="4" max="4" width="12" customWidth="1"/>
    <col min="5" max="5" width="40" customWidth="1"/>
    <col min="6" max="6" width="10" customWidth="1"/>
    <col min="7" max="7" width="9" customWidth="1"/>
    <col min="8" max="9" width="12" customWidth="1"/>
    <col min="10" max="10" width="30" customWidth="1"/>
    <col min="11" max="11" width="24" customWidth="1"/>
  </cols>
  <sheetData>
    <row r="1" spans="1:11" ht="26.1" customHeight="1">
      <c r="A1" s="11" t="s">
        <v>77</v>
      </c>
      <c r="B1" s="11" t="s">
        <v>39</v>
      </c>
      <c r="C1" s="11" t="s">
        <v>40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1" t="s">
        <v>83</v>
      </c>
      <c r="J1" s="11" t="s">
        <v>84</v>
      </c>
      <c r="K1" s="11" t="s">
        <v>48</v>
      </c>
    </row>
    <row r="2" spans="1:11" ht="30" customHeight="1">
      <c r="A2" s="18">
        <v>46315</v>
      </c>
      <c r="B2" s="12" t="s">
        <v>62</v>
      </c>
      <c r="C2" s="16" t="s">
        <v>85</v>
      </c>
      <c r="D2" s="12" t="s">
        <v>64</v>
      </c>
      <c r="E2" s="16" t="s">
        <v>86</v>
      </c>
      <c r="F2" s="12" t="s">
        <v>87</v>
      </c>
      <c r="G2" s="12" t="s">
        <v>88</v>
      </c>
      <c r="H2" s="12" t="s">
        <v>89</v>
      </c>
      <c r="I2" s="12" t="s">
        <v>89</v>
      </c>
      <c r="J2" s="16" t="s">
        <v>90</v>
      </c>
      <c r="K2" s="16" t="s">
        <v>91</v>
      </c>
    </row>
    <row r="3" spans="1:11" ht="30" customHeight="1">
      <c r="A3" s="18">
        <v>46315</v>
      </c>
      <c r="B3" s="12" t="s">
        <v>49</v>
      </c>
      <c r="C3" s="16" t="s">
        <v>50</v>
      </c>
      <c r="D3" s="12" t="s">
        <v>51</v>
      </c>
      <c r="E3" s="16" t="s">
        <v>92</v>
      </c>
      <c r="F3" s="12" t="s">
        <v>87</v>
      </c>
      <c r="G3" s="12" t="s">
        <v>88</v>
      </c>
      <c r="H3" s="12" t="s">
        <v>89</v>
      </c>
      <c r="I3" s="12" t="s">
        <v>89</v>
      </c>
      <c r="J3" s="16" t="s">
        <v>90</v>
      </c>
      <c r="K3" s="16" t="s">
        <v>93</v>
      </c>
    </row>
    <row r="4" spans="1:11" ht="30" customHeight="1">
      <c r="A4" s="18">
        <v>46315</v>
      </c>
      <c r="B4" s="12" t="s">
        <v>69</v>
      </c>
      <c r="C4" s="16" t="s">
        <v>94</v>
      </c>
      <c r="D4" s="12" t="s">
        <v>71</v>
      </c>
      <c r="E4" s="16" t="s">
        <v>95</v>
      </c>
      <c r="F4" s="12" t="s">
        <v>87</v>
      </c>
      <c r="G4" s="12" t="s">
        <v>88</v>
      </c>
      <c r="H4" s="12" t="s">
        <v>89</v>
      </c>
      <c r="I4" s="12" t="s">
        <v>89</v>
      </c>
      <c r="J4" s="16" t="s">
        <v>90</v>
      </c>
      <c r="K4" s="16" t="s">
        <v>96</v>
      </c>
    </row>
    <row r="5" spans="1:11" ht="30" customHeight="1">
      <c r="A5" s="18">
        <v>46315</v>
      </c>
      <c r="B5" s="12" t="s">
        <v>97</v>
      </c>
      <c r="C5" s="16" t="s">
        <v>98</v>
      </c>
      <c r="D5" s="12" t="s">
        <v>99</v>
      </c>
      <c r="E5" s="16" t="s">
        <v>100</v>
      </c>
      <c r="F5" s="12" t="s">
        <v>87</v>
      </c>
      <c r="G5" s="12" t="s">
        <v>88</v>
      </c>
      <c r="H5" s="12" t="s">
        <v>89</v>
      </c>
      <c r="I5" s="12" t="s">
        <v>89</v>
      </c>
      <c r="J5" s="16" t="s">
        <v>90</v>
      </c>
      <c r="K5" s="16" t="s">
        <v>101</v>
      </c>
    </row>
    <row r="6" spans="1:11" ht="26.1" customHeight="1">
      <c r="A6" s="18"/>
      <c r="B6" s="12"/>
      <c r="C6" s="16"/>
      <c r="D6" s="12"/>
      <c r="E6" s="16"/>
      <c r="F6" s="12"/>
      <c r="G6" s="12" t="str">
        <f t="shared" ref="G6:G40" si="0">IF($F6="完成","是",IF($F6="","","否"))</f>
        <v/>
      </c>
      <c r="H6" s="12"/>
      <c r="I6" s="12"/>
      <c r="J6" s="16"/>
      <c r="K6" s="16"/>
    </row>
    <row r="7" spans="1:11" ht="26.1" customHeight="1">
      <c r="A7" s="18"/>
      <c r="B7" s="12"/>
      <c r="C7" s="16"/>
      <c r="D7" s="12"/>
      <c r="E7" s="16"/>
      <c r="F7" s="12"/>
      <c r="G7" s="12" t="str">
        <f t="shared" si="0"/>
        <v/>
      </c>
      <c r="H7" s="12"/>
      <c r="I7" s="12"/>
      <c r="J7" s="16"/>
      <c r="K7" s="16"/>
    </row>
    <row r="8" spans="1:11" ht="26.1" customHeight="1">
      <c r="A8" s="18"/>
      <c r="B8" s="12"/>
      <c r="C8" s="16"/>
      <c r="D8" s="12"/>
      <c r="E8" s="16"/>
      <c r="F8" s="12"/>
      <c r="G8" s="12" t="str">
        <f t="shared" si="0"/>
        <v/>
      </c>
      <c r="H8" s="12"/>
      <c r="I8" s="12"/>
      <c r="J8" s="16"/>
      <c r="K8" s="16"/>
    </row>
    <row r="9" spans="1:11" ht="26.1" customHeight="1">
      <c r="A9" s="18"/>
      <c r="B9" s="12"/>
      <c r="C9" s="16"/>
      <c r="D9" s="12"/>
      <c r="E9" s="16"/>
      <c r="F9" s="12"/>
      <c r="G9" s="12" t="str">
        <f t="shared" si="0"/>
        <v/>
      </c>
      <c r="H9" s="12"/>
      <c r="I9" s="12"/>
      <c r="J9" s="16"/>
      <c r="K9" s="16"/>
    </row>
    <row r="10" spans="1:11" ht="26.1" customHeight="1">
      <c r="A10" s="18"/>
      <c r="B10" s="12"/>
      <c r="C10" s="16"/>
      <c r="D10" s="12"/>
      <c r="E10" s="16"/>
      <c r="F10" s="12"/>
      <c r="G10" s="12" t="str">
        <f t="shared" si="0"/>
        <v/>
      </c>
      <c r="H10" s="12"/>
      <c r="I10" s="12"/>
      <c r="J10" s="16"/>
      <c r="K10" s="16"/>
    </row>
    <row r="11" spans="1:11" ht="26.1" customHeight="1">
      <c r="A11" s="18"/>
      <c r="B11" s="12"/>
      <c r="C11" s="16"/>
      <c r="D11" s="12"/>
      <c r="E11" s="16"/>
      <c r="F11" s="12"/>
      <c r="G11" s="12" t="str">
        <f t="shared" si="0"/>
        <v/>
      </c>
      <c r="H11" s="12"/>
      <c r="I11" s="12"/>
      <c r="J11" s="16"/>
      <c r="K11" s="16"/>
    </row>
    <row r="12" spans="1:11" ht="26.1" customHeight="1">
      <c r="A12" s="18"/>
      <c r="B12" s="12"/>
      <c r="C12" s="16"/>
      <c r="D12" s="12"/>
      <c r="E12" s="16"/>
      <c r="F12" s="12"/>
      <c r="G12" s="12" t="str">
        <f t="shared" si="0"/>
        <v/>
      </c>
      <c r="H12" s="12"/>
      <c r="I12" s="12"/>
      <c r="J12" s="16"/>
      <c r="K12" s="16"/>
    </row>
    <row r="13" spans="1:11" ht="26.1" customHeight="1">
      <c r="A13" s="18"/>
      <c r="B13" s="12"/>
      <c r="C13" s="16"/>
      <c r="D13" s="12"/>
      <c r="E13" s="16"/>
      <c r="F13" s="12"/>
      <c r="G13" s="12" t="str">
        <f t="shared" si="0"/>
        <v/>
      </c>
      <c r="H13" s="12"/>
      <c r="I13" s="12"/>
      <c r="J13" s="16"/>
      <c r="K13" s="16"/>
    </row>
    <row r="14" spans="1:11" ht="26.1" customHeight="1">
      <c r="A14" s="18"/>
      <c r="B14" s="12"/>
      <c r="C14" s="16"/>
      <c r="D14" s="12"/>
      <c r="E14" s="16"/>
      <c r="F14" s="12"/>
      <c r="G14" s="12" t="str">
        <f t="shared" si="0"/>
        <v/>
      </c>
      <c r="H14" s="12"/>
      <c r="I14" s="12"/>
      <c r="J14" s="16"/>
      <c r="K14" s="16"/>
    </row>
    <row r="15" spans="1:11" ht="26.1" customHeight="1">
      <c r="A15" s="18"/>
      <c r="B15" s="12"/>
      <c r="C15" s="16"/>
      <c r="D15" s="12"/>
      <c r="E15" s="16"/>
      <c r="F15" s="12"/>
      <c r="G15" s="12" t="str">
        <f t="shared" si="0"/>
        <v/>
      </c>
      <c r="H15" s="12"/>
      <c r="I15" s="12"/>
      <c r="J15" s="16"/>
      <c r="K15" s="16"/>
    </row>
    <row r="16" spans="1:11" ht="26.1" customHeight="1">
      <c r="A16" s="18"/>
      <c r="B16" s="12"/>
      <c r="C16" s="16"/>
      <c r="D16" s="12"/>
      <c r="E16" s="16"/>
      <c r="F16" s="12"/>
      <c r="G16" s="12" t="str">
        <f t="shared" si="0"/>
        <v/>
      </c>
      <c r="H16" s="12"/>
      <c r="I16" s="12"/>
      <c r="J16" s="16"/>
      <c r="K16" s="16"/>
    </row>
    <row r="17" spans="1:11" ht="26.1" customHeight="1">
      <c r="A17" s="18"/>
      <c r="B17" s="12"/>
      <c r="C17" s="16"/>
      <c r="D17" s="12"/>
      <c r="E17" s="16"/>
      <c r="F17" s="12"/>
      <c r="G17" s="12" t="str">
        <f t="shared" si="0"/>
        <v/>
      </c>
      <c r="H17" s="12"/>
      <c r="I17" s="12"/>
      <c r="J17" s="16"/>
      <c r="K17" s="16"/>
    </row>
    <row r="18" spans="1:11" ht="26.1" customHeight="1">
      <c r="A18" s="18"/>
      <c r="B18" s="12"/>
      <c r="C18" s="16"/>
      <c r="D18" s="12"/>
      <c r="E18" s="16"/>
      <c r="F18" s="12"/>
      <c r="G18" s="12" t="str">
        <f t="shared" si="0"/>
        <v/>
      </c>
      <c r="H18" s="12"/>
      <c r="I18" s="12"/>
      <c r="J18" s="16"/>
      <c r="K18" s="16"/>
    </row>
    <row r="19" spans="1:11" ht="26.1" customHeight="1">
      <c r="A19" s="18"/>
      <c r="B19" s="12"/>
      <c r="C19" s="16"/>
      <c r="D19" s="12"/>
      <c r="E19" s="16"/>
      <c r="F19" s="12"/>
      <c r="G19" s="12" t="str">
        <f t="shared" si="0"/>
        <v/>
      </c>
      <c r="H19" s="12"/>
      <c r="I19" s="12"/>
      <c r="J19" s="16"/>
      <c r="K19" s="16"/>
    </row>
    <row r="20" spans="1:11" ht="26.1" customHeight="1">
      <c r="A20" s="18"/>
      <c r="B20" s="12"/>
      <c r="C20" s="16"/>
      <c r="D20" s="12"/>
      <c r="E20" s="16"/>
      <c r="F20" s="12"/>
      <c r="G20" s="12" t="str">
        <f t="shared" si="0"/>
        <v/>
      </c>
      <c r="H20" s="12"/>
      <c r="I20" s="12"/>
      <c r="J20" s="16"/>
      <c r="K20" s="16"/>
    </row>
    <row r="21" spans="1:11" ht="26.1" customHeight="1">
      <c r="A21" s="18"/>
      <c r="B21" s="12"/>
      <c r="C21" s="16"/>
      <c r="D21" s="12"/>
      <c r="E21" s="16"/>
      <c r="F21" s="12"/>
      <c r="G21" s="12" t="str">
        <f t="shared" si="0"/>
        <v/>
      </c>
      <c r="H21" s="12"/>
      <c r="I21" s="12"/>
      <c r="J21" s="16"/>
      <c r="K21" s="16"/>
    </row>
    <row r="22" spans="1:11" ht="26.1" customHeight="1">
      <c r="A22" s="18"/>
      <c r="B22" s="12"/>
      <c r="C22" s="16"/>
      <c r="D22" s="12"/>
      <c r="E22" s="16"/>
      <c r="F22" s="12"/>
      <c r="G22" s="12" t="str">
        <f t="shared" si="0"/>
        <v/>
      </c>
      <c r="H22" s="12"/>
      <c r="I22" s="12"/>
      <c r="J22" s="16"/>
      <c r="K22" s="16"/>
    </row>
    <row r="23" spans="1:11" ht="26.1" customHeight="1">
      <c r="A23" s="18"/>
      <c r="B23" s="12"/>
      <c r="C23" s="16"/>
      <c r="D23" s="12"/>
      <c r="E23" s="16"/>
      <c r="F23" s="12"/>
      <c r="G23" s="12" t="str">
        <f t="shared" si="0"/>
        <v/>
      </c>
      <c r="H23" s="12"/>
      <c r="I23" s="12"/>
      <c r="J23" s="16"/>
      <c r="K23" s="16"/>
    </row>
    <row r="24" spans="1:11" ht="26.1" customHeight="1">
      <c r="A24" s="18"/>
      <c r="B24" s="12"/>
      <c r="C24" s="16"/>
      <c r="D24" s="12"/>
      <c r="E24" s="16"/>
      <c r="F24" s="12"/>
      <c r="G24" s="12" t="str">
        <f t="shared" si="0"/>
        <v/>
      </c>
      <c r="H24" s="12"/>
      <c r="I24" s="12"/>
      <c r="J24" s="16"/>
      <c r="K24" s="16"/>
    </row>
    <row r="25" spans="1:11" ht="26.1" customHeight="1">
      <c r="A25" s="18"/>
      <c r="B25" s="12"/>
      <c r="C25" s="16"/>
      <c r="D25" s="12"/>
      <c r="E25" s="16"/>
      <c r="F25" s="12"/>
      <c r="G25" s="12" t="str">
        <f t="shared" si="0"/>
        <v/>
      </c>
      <c r="H25" s="12"/>
      <c r="I25" s="12"/>
      <c r="J25" s="16"/>
      <c r="K25" s="16"/>
    </row>
    <row r="26" spans="1:11" ht="26.1" customHeight="1">
      <c r="A26" s="18"/>
      <c r="B26" s="12"/>
      <c r="C26" s="16"/>
      <c r="D26" s="12"/>
      <c r="E26" s="16"/>
      <c r="F26" s="12"/>
      <c r="G26" s="12" t="str">
        <f t="shared" si="0"/>
        <v/>
      </c>
      <c r="H26" s="12"/>
      <c r="I26" s="12"/>
      <c r="J26" s="16"/>
      <c r="K26" s="16"/>
    </row>
    <row r="27" spans="1:11" ht="26.1" customHeight="1">
      <c r="A27" s="18"/>
      <c r="B27" s="12"/>
      <c r="C27" s="16"/>
      <c r="D27" s="12"/>
      <c r="E27" s="16"/>
      <c r="F27" s="12"/>
      <c r="G27" s="12" t="str">
        <f t="shared" si="0"/>
        <v/>
      </c>
      <c r="H27" s="12"/>
      <c r="I27" s="12"/>
      <c r="J27" s="16"/>
      <c r="K27" s="16"/>
    </row>
    <row r="28" spans="1:11" ht="26.1" customHeight="1">
      <c r="A28" s="18"/>
      <c r="B28" s="12"/>
      <c r="C28" s="16"/>
      <c r="D28" s="12"/>
      <c r="E28" s="16"/>
      <c r="F28" s="12"/>
      <c r="G28" s="12" t="str">
        <f t="shared" si="0"/>
        <v/>
      </c>
      <c r="H28" s="12"/>
      <c r="I28" s="12"/>
      <c r="J28" s="16"/>
      <c r="K28" s="16"/>
    </row>
    <row r="29" spans="1:11" ht="26.1" customHeight="1">
      <c r="A29" s="18"/>
      <c r="B29" s="12"/>
      <c r="C29" s="16"/>
      <c r="D29" s="12"/>
      <c r="E29" s="16"/>
      <c r="F29" s="12"/>
      <c r="G29" s="12" t="str">
        <f t="shared" si="0"/>
        <v/>
      </c>
      <c r="H29" s="12"/>
      <c r="I29" s="12"/>
      <c r="J29" s="16"/>
      <c r="K29" s="16"/>
    </row>
    <row r="30" spans="1:11" ht="26.1" customHeight="1">
      <c r="A30" s="18"/>
      <c r="B30" s="12"/>
      <c r="C30" s="16"/>
      <c r="D30" s="12"/>
      <c r="E30" s="16"/>
      <c r="F30" s="12"/>
      <c r="G30" s="12" t="str">
        <f t="shared" si="0"/>
        <v/>
      </c>
      <c r="H30" s="12"/>
      <c r="I30" s="12"/>
      <c r="J30" s="16"/>
      <c r="K30" s="16"/>
    </row>
    <row r="31" spans="1:11" ht="26.1" customHeight="1">
      <c r="A31" s="18"/>
      <c r="B31" s="12"/>
      <c r="C31" s="16"/>
      <c r="D31" s="12"/>
      <c r="E31" s="16"/>
      <c r="F31" s="12"/>
      <c r="G31" s="12" t="str">
        <f t="shared" si="0"/>
        <v/>
      </c>
      <c r="H31" s="12"/>
      <c r="I31" s="12"/>
      <c r="J31" s="16"/>
      <c r="K31" s="16"/>
    </row>
    <row r="32" spans="1:11" ht="26.1" customHeight="1">
      <c r="A32" s="18"/>
      <c r="B32" s="12"/>
      <c r="C32" s="16"/>
      <c r="D32" s="12"/>
      <c r="E32" s="16"/>
      <c r="F32" s="12"/>
      <c r="G32" s="12" t="str">
        <f t="shared" si="0"/>
        <v/>
      </c>
      <c r="H32" s="12"/>
      <c r="I32" s="12"/>
      <c r="J32" s="16"/>
      <c r="K32" s="16"/>
    </row>
    <row r="33" spans="1:11" ht="26.1" customHeight="1">
      <c r="A33" s="18"/>
      <c r="B33" s="12"/>
      <c r="C33" s="16"/>
      <c r="D33" s="12"/>
      <c r="E33" s="16"/>
      <c r="F33" s="12"/>
      <c r="G33" s="12" t="str">
        <f t="shared" si="0"/>
        <v/>
      </c>
      <c r="H33" s="12"/>
      <c r="I33" s="12"/>
      <c r="J33" s="16"/>
      <c r="K33" s="16"/>
    </row>
    <row r="34" spans="1:11" ht="26.1" customHeight="1">
      <c r="A34" s="18"/>
      <c r="B34" s="12"/>
      <c r="C34" s="16"/>
      <c r="D34" s="12"/>
      <c r="E34" s="16"/>
      <c r="F34" s="12"/>
      <c r="G34" s="12" t="str">
        <f t="shared" si="0"/>
        <v/>
      </c>
      <c r="H34" s="12"/>
      <c r="I34" s="12"/>
      <c r="J34" s="16"/>
      <c r="K34" s="16"/>
    </row>
    <row r="35" spans="1:11" ht="26.1" customHeight="1">
      <c r="A35" s="18"/>
      <c r="B35" s="12"/>
      <c r="C35" s="16"/>
      <c r="D35" s="12"/>
      <c r="E35" s="16"/>
      <c r="F35" s="12"/>
      <c r="G35" s="12" t="str">
        <f t="shared" si="0"/>
        <v/>
      </c>
      <c r="H35" s="12"/>
      <c r="I35" s="12"/>
      <c r="J35" s="16"/>
      <c r="K35" s="16"/>
    </row>
    <row r="36" spans="1:11" ht="26.1" customHeight="1">
      <c r="A36" s="18"/>
      <c r="B36" s="12"/>
      <c r="C36" s="16"/>
      <c r="D36" s="12"/>
      <c r="E36" s="16"/>
      <c r="F36" s="12"/>
      <c r="G36" s="12" t="str">
        <f t="shared" si="0"/>
        <v/>
      </c>
      <c r="H36" s="12"/>
      <c r="I36" s="12"/>
      <c r="J36" s="16"/>
      <c r="K36" s="16"/>
    </row>
    <row r="37" spans="1:11" ht="26.1" customHeight="1">
      <c r="A37" s="18"/>
      <c r="B37" s="12"/>
      <c r="C37" s="16"/>
      <c r="D37" s="12"/>
      <c r="E37" s="16"/>
      <c r="F37" s="12"/>
      <c r="G37" s="12" t="str">
        <f t="shared" si="0"/>
        <v/>
      </c>
      <c r="H37" s="12"/>
      <c r="I37" s="12"/>
      <c r="J37" s="16"/>
      <c r="K37" s="16"/>
    </row>
    <row r="38" spans="1:11" ht="26.1" customHeight="1">
      <c r="A38" s="18"/>
      <c r="B38" s="12"/>
      <c r="C38" s="16"/>
      <c r="D38" s="12"/>
      <c r="E38" s="16"/>
      <c r="F38" s="12"/>
      <c r="G38" s="12" t="str">
        <f t="shared" si="0"/>
        <v/>
      </c>
      <c r="H38" s="12"/>
      <c r="I38" s="12"/>
      <c r="J38" s="16"/>
      <c r="K38" s="16"/>
    </row>
    <row r="39" spans="1:11" ht="26.1" customHeight="1">
      <c r="A39" s="18"/>
      <c r="B39" s="12"/>
      <c r="C39" s="16"/>
      <c r="D39" s="12"/>
      <c r="E39" s="16"/>
      <c r="F39" s="12"/>
      <c r="G39" s="12" t="str">
        <f t="shared" si="0"/>
        <v/>
      </c>
      <c r="H39" s="12"/>
      <c r="I39" s="12"/>
      <c r="J39" s="16"/>
      <c r="K39" s="16"/>
    </row>
    <row r="40" spans="1:11" ht="26.1" customHeight="1">
      <c r="A40" s="18"/>
      <c r="B40" s="12"/>
      <c r="C40" s="16"/>
      <c r="D40" s="12"/>
      <c r="E40" s="16"/>
      <c r="F40" s="12"/>
      <c r="G40" s="12" t="str">
        <f t="shared" si="0"/>
        <v/>
      </c>
      <c r="H40" s="12"/>
      <c r="I40" s="12"/>
      <c r="J40" s="16"/>
      <c r="K40" s="16"/>
    </row>
  </sheetData>
  <autoFilter ref="A1:K60" xr:uid="{00000000-0009-0000-0000-000005000000}"/>
  <phoneticPr fontId="8" type="noConversion"/>
  <conditionalFormatting sqref="F2:F200">
    <cfRule type="expression" dxfId="5" priority="1">
      <formula>$F2="完成"</formula>
    </cfRule>
    <cfRule type="expression" dxfId="4" priority="2">
      <formula>$F2="部分完成"</formula>
    </cfRule>
    <cfRule type="expression" dxfId="3" priority="3">
      <formula>$F2="未完成"</formula>
    </cfRule>
    <cfRule type="expression" dxfId="2" priority="4">
      <formula>$F2="阻塞"</formula>
    </cfRule>
  </conditionalFormatting>
  <conditionalFormatting sqref="H2:H200">
    <cfRule type="expression" dxfId="1" priority="5">
      <formula>$H2="是"</formula>
    </cfRule>
  </conditionalFormatting>
  <conditionalFormatting sqref="I2:I200">
    <cfRule type="expression" dxfId="0" priority="6">
      <formula>$I2="是"</formula>
    </cfRule>
  </conditionalFormatting>
  <dataValidations count="2">
    <dataValidation type="list" allowBlank="1" sqref="F2:F200" xr:uid="{00000000-0002-0000-0500-000000000000}">
      <formula1>"完成,部分完成,未完成,阻塞"</formula1>
    </dataValidation>
    <dataValidation type="list" allowBlank="1" sqref="H2:I200" xr:uid="{00000000-0002-0000-0500-000001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汇总</vt:lpstr>
      <vt:lpstr>策划需求</vt:lpstr>
      <vt:lpstr>程序需求</vt:lpstr>
      <vt:lpstr>美术需求</vt:lpstr>
      <vt:lpstr>每日需求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 刘·</cp:lastModifiedBy>
  <dcterms:created xsi:type="dcterms:W3CDTF">2026-10-19T19:41:48Z</dcterms:created>
  <dcterms:modified xsi:type="dcterms:W3CDTF">2026-10-19T19:45:33Z</dcterms:modified>
</cp:coreProperties>
</file>